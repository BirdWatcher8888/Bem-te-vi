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ence Stats" sheetId="1" state="visible" r:id="rId3"/>
    <sheet name="Comparison vs Your Double" sheetId="2" state="visible" r:id="rId4"/>
    <sheet name="Note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<sst xmlns="http://schemas.openxmlformats.org/spreadsheetml/2006/main" count="103" uniqueCount="91">
  <si>
    <t xml:space="preserve">Comedy Comps - Audience Stats (own accounts only)</t>
  </si>
  <si>
    <t xml:space="preserve">Pulled 2026-07-19 (Sagalow/Cannon 2026-07-18). approx = search-snippet figure; YouTube numbers are exact API values. Blank = no account / not findable. Ticket pricing column = as you provided it (Payomet series).</t>
  </si>
  <si>
    <t xml:space="preserve">Act</t>
  </si>
  <si>
    <t xml:space="preserve">Ticket pricing (your notes)</t>
  </si>
  <si>
    <t xml:space="preserve">Instagram</t>
  </si>
  <si>
    <t xml:space="preserve">TikTok followers</t>
  </si>
  <si>
    <t xml:space="preserve">TikTok likes</t>
  </si>
  <si>
    <t xml:space="preserve">X / Twitter</t>
  </si>
  <si>
    <t xml:space="preserve">Facebook</t>
  </si>
  <si>
    <t xml:space="preserve">YouTube subs</t>
  </si>
  <si>
    <t xml:space="preserve">YouTube total views</t>
  </si>
  <si>
    <t xml:space="preserve">Threads</t>
  </si>
  <si>
    <t xml:space="preserve">TOTAL following</t>
  </si>
  <si>
    <t xml:space="preserve">Notes</t>
  </si>
  <si>
    <t xml:space="preserve">Brendan Sagalow</t>
  </si>
  <si>
    <t xml:space="preserve">(your show)</t>
  </si>
  <si>
    <t xml:space="preserve">IG/TikTok/X/FB approx; YT exact. Handles: @brendansagalow / @BrendanSagalow</t>
  </si>
  <si>
    <t xml:space="preserve">Mike Cannon</t>
  </si>
  <si>
    <t xml:space="preserve">IG/X solid; TikTok/FB/Threads approx; YT exact. @iammikecannon / @IamMikeCannon / @MikeCannonComedy</t>
  </si>
  <si>
    <t xml:space="preserve">YOUR DOUBLE (Sagalow + Cannon)</t>
  </si>
  <si>
    <t xml:space="preserve">Sum of the two rows above. Also: 29.8M documented YT views of content featuring them incl. guest appearances (sponsor workbook) - not comparable to own-channel views below.</t>
  </si>
  <si>
    <t xml:space="preserve">Robby Hoffman</t>
  </si>
  <si>
    <t xml:space="preserve">$50-$100 tiered (members $45-$100); Meet &amp; Greet add-on</t>
  </si>
  <si>
    <t xml:space="preserve">IG solid (imginn); TikTok approx; X dormant/no count; FB inactive. + Too Far Pod YT 4.1K subs. @robbyhoffman</t>
  </si>
  <si>
    <t xml:space="preserve">Matteo Lane</t>
  </si>
  <si>
    <t xml:space="preserve">$53-$94.50 tiered (members $49-$87.50)</t>
  </si>
  <si>
    <t xml:space="preserve">IG solid; TikTok/FB approx; X protected (no public). YT exact - 543M views. @matteolane</t>
  </si>
  <si>
    <t xml:space="preserve">Fortune Feimster</t>
  </si>
  <si>
    <t xml:space="preserve">tiers in checkout only; series $39-$94.50; tour ~$55-$95 (your inference)</t>
  </si>
  <si>
    <t xml:space="preserve">IG solid; TikTok/FB approx; X = NEW Mar 2026 account (old ~226K deleted). @fortunefeimster</t>
  </si>
  <si>
    <t xml:space="preserve">Bob the Drag Queen</t>
  </si>
  <si>
    <t xml:space="preserve">$45.75-$94.50 tiered (members $41.75-$85.50); $157 Platinum M&amp;G</t>
  </si>
  <si>
    <t xml:space="preserve">IG/X solid; TikTok/FB approx; YT exact. + Sibling Rivalry pod YT 259K subs/69M views (excluded from total). @bobthedragqueen / @thatonequeen</t>
  </si>
  <si>
    <t xml:space="preserve">Alyssa Edwards</t>
  </si>
  <si>
    <t xml:space="preserve">was $75-$150 tiered (Provincetown Independent)</t>
  </si>
  <si>
    <t xml:space="preserve">IG/X solid; TikTok/FB/Threads approx. @alyssaedwards_1 / TikTok @thealyssaedwards</t>
  </si>
  <si>
    <t xml:space="preserve">Bianca Del Rio</t>
  </si>
  <si>
    <t xml:space="preserve">tiers unpublished; same-series comedy $75-$150 (your inference)</t>
  </si>
  <si>
    <t xml:space="preserve">IG/X solid; TikTok is a placeholder account (no videos); YT catalog pruned (19 videos). @thebiancadelrio / @TheBiancaDelRio</t>
  </si>
  <si>
    <t xml:space="preserve">Joy Behar</t>
  </si>
  <si>
    <t xml:space="preserve">benefit bill w/ Judy Gold; price unpublished; series precedent $75-$150 (your inference)</t>
  </si>
  <si>
    <t xml:space="preserve">IG/X solid; no TikTok/YT/Threads found - her reach is The View (TV), not socials. @joyvbehar / @JoyVBehar</t>
  </si>
  <si>
    <t xml:space="preserve">Judy Gold</t>
  </si>
  <si>
    <t xml:space="preserve">(same bill as Behar)</t>
  </si>
  <si>
    <t xml:space="preserve">IG/X solid; others approx. Video pod It's Judy's Show on her YT. @jewdygold</t>
  </si>
  <si>
    <t xml:space="preserve">BEHAR + GOLD (the bill)</t>
  </si>
  <si>
    <t xml:space="preserve">benefit for Sandy Hook Promise</t>
  </si>
  <si>
    <t xml:space="preserve">Sum of the two rows above.</t>
  </si>
  <si>
    <t xml:space="preserve">Jason Choi</t>
  </si>
  <si>
    <t xml:space="preserve">(not on the price-comp list)</t>
  </si>
  <si>
    <t xml:space="preserve">IG solid (imginn); TikTok approx (likes n/f); no X or Threads found; FB negligible. YT exact: 4.68M views from just 33 videos (viral Don't Tell Comedy sets). Boston Comedy Festival finalist; has opened for Mike Cannon, Ronny Chieng, Gary Gulman. @jasonrchoi / TikTok @chasinjoycomedy / YT @jasonchoicomedy</t>
  </si>
  <si>
    <t xml:space="preserve">VALUE SIGNALS BEYOND REACH (added 2026-07-23)</t>
  </si>
  <si>
    <t xml:space="preserve">MONETIZATION / CONVERSION</t>
  </si>
  <si>
    <t xml:space="preserve">2026-07-23: Sagalow's live set sold as a paid livestream on Mint Comedy (mintcomedy.com) with personal promo code 'sagalow'. $2/show is Mint's STANDARD pay-per-view price (membership $5.99/mo) - the code is attribution, not a discount. Signal: his fanbase transacts on his say-so through a tracked personal code. Conversion-to-dollars evidence that complements the follower/view columns: the audience doesn't just watch, it pays. Dated, verifiable proof point for sponsor/deal materials.</t>
  </si>
  <si>
    <t xml:space="preserve">VENUE PEDIGREE</t>
  </si>
  <si>
    <t xml:space="preserve">Same stream: Mint broadcasts live from NYC's Comedy Cellar every Thursday - so the 2026-07-23 9:30pm set puts Sagalow on a Comedy Cellar lineup. Upgrades his venue profile (previously logged as New York Comedy Club-centric; the Cellar was Cannon's column).</t>
  </si>
  <si>
    <t xml:space="preserve">Each act vs Sagalow, vs Cannon, vs the two-man double bill</t>
  </si>
  <si>
    <t xml:space="preserve">Basis: TOTAL following (own accounts, col K of Audience Stats). View ratio uses own-channel YouTube views only - your double also has 29.8M documented views incl. guest appearances, which this basis excludes, so view ratios understate you. Venue: Tilden Auditorium (649 seats per you; venue materials say 589). No pricing math here, per your note.</t>
  </si>
  <si>
    <t xml:space="preserve">Total following</t>
  </si>
  <si>
    <t xml:space="preserve">x Sagalow</t>
  </si>
  <si>
    <t xml:space="preserve">x Cannon</t>
  </si>
  <si>
    <t xml:space="preserve">x YOUR DOUBLE</t>
  </si>
  <si>
    <t xml:space="preserve">YT own-channel views</t>
  </si>
  <si>
    <t xml:space="preserve">x S+C own-channel views</t>
  </si>
  <si>
    <t xml:space="preserve">Read (number-anchored)</t>
  </si>
  <si>
    <t xml:space="preserve">Closest comp of the set: under 2x your double's following; IG/TikTok act, negligible YouTube and Facebook.</t>
  </si>
  <si>
    <t xml:space="preserve">Different tier: 1.2M YT subs and 543M own-channel views - a national theater headliner.</t>
  </si>
  <si>
    <t xml:space="preserve">Netflix/network-TV name whose recognition exceeds her socials; 1M+ Facebook skews older; X rebooted to zero.</t>
  </si>
  <si>
    <t xml:space="preserve">Largest of the set on following; TikTok 3.3M followers / 139M likes; strong on every platform.</t>
  </si>
  <si>
    <t xml:space="preserve">IG-centric drag fandom (2.0M); minimal TikTok/YouTube presence.</t>
  </si>
  <si>
    <t xml:space="preserve">Top touring drag comic: IG 2.5M, X 718K; TikTok effectively unused; small owned YouTube.</t>
  </si>
  <si>
    <t xml:space="preserve">Joy Behar (solo)</t>
  </si>
  <si>
    <t xml:space="preserve">Socials understate her: The View reaches millions on TV daily; X 925K is her biggest owned number.</t>
  </si>
  <si>
    <t xml:space="preserve">Judy Gold (solo)</t>
  </si>
  <si>
    <t xml:space="preserve">Below your double's following; the bill relies on Behar's TV fame.</t>
  </si>
  <si>
    <t xml:space="preserve">Combined bill; TV fame + benefit framing carry it beyond these socials.</t>
  </si>
  <si>
    <t xml:space="preserve">Smallest of the set: ~6% of your double's following - yet 4.7M YouTube views from 33 videos (clips far outperform his follower base). Opener-scale name; has opened for Cannon.</t>
  </si>
  <si>
    <t xml:space="preserve">Two headliners, two fanbases, one hour each; plus 29.8M documented views of content featuring them (excluded from col F basis).</t>
  </si>
  <si>
    <t xml:space="preserve">Notes &amp; sources</t>
  </si>
  <si>
    <t xml:space="preserve">Basis</t>
  </si>
  <si>
    <t xml:space="preserve">TOTAL following = Instagram + TikTok followers + X + Facebook + YouTube subs + Threads, own accounts only. Side channels excluded everywhere (Bob's Sibling Rivalry 259K subs, Hoffman's Too Far Pod, Sagalow/Cannon's Fart Carnival &amp; Beautiful Boys).</t>
  </si>
  <si>
    <t xml:space="preserve">Asymmetries to keep in mind</t>
  </si>
  <si>
    <t xml:space="preserve">Threads counts were only findable for Cannon, Alyssa, Bianca, Judy Gold (others blank, not zero). Hoffman's X is dormant with no public count; Lane's X is protected; Feimster's X restarted Mar 2026 (~226K account deleted). Bianca's TikTok is an empty placeholder. Joy Behar has no TikTok/YouTube - TV is her channel. Jason Choi has no X/Threads.</t>
  </si>
  <si>
    <t xml:space="preserve">View-count caveat</t>
  </si>
  <si>
    <t xml:space="preserve">YouTube views here are own-channel lifetime only. The Sagalow/Cannon 29.8M documented figure includes third-party guest appearances; the equivalent sweep was NOT done for the other acts, so their true featuring-them totals are also higher than shown.</t>
  </si>
  <si>
    <t xml:space="preserve">Ticket pricing column</t>
  </si>
  <si>
    <t xml:space="preserve">Copied from your notes (Payomet series) verbatim, including your inferences - not re-verified here.</t>
  </si>
  <si>
    <t xml:space="preserve">Sources</t>
  </si>
  <si>
    <t xml:space="preserve">YouTube: api.socialcounts.org (exact). Instagram: imginn.com live mirrors. X: sotwe.com live mirrors. TikTok/Facebook/Threads: Google search snippets (approx). Pulled 2026-07-19; Sagalow/Cannon 2026-07-18.</t>
  </si>
  <si>
    <t xml:space="preserve">Monetization signals</t>
  </si>
  <si>
    <t xml:space="preserve">Mint Comedy pricing verified 2026-07-23 at mintcomedy.com: $2/show PPV standard, $5.99/mo membership, livestreams every Thursday from the Comedy Cellar.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</si>
</sst>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F4F7FB"/>
        <bgColor rgb="FFFFFFFF"/>
      </patternFill>
    </fill>
    <fill>
      <patternFill patternType="solid">
        <fgColor rgb="FFFFF2CC"/>
        <bgColor rgb="FFF4F7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4F7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5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s">
        <v>14</v>
      </c>
      <c r="B5" s="5" t="s">
        <v>15</v>
      </c>
      <c r="C5" s="6" t="n">
        <v>146700</v>
      </c>
      <c r="D5" s="6" t="n">
        <v>44800</v>
      </c>
      <c r="E5" s="6" t="n">
        <v>1900000</v>
      </c>
      <c r="F5" s="6" t="n">
        <v>11500</v>
      </c>
      <c r="G5" s="6" t="n">
        <v>51000</v>
      </c>
      <c r="H5" s="6" t="n">
        <v>16268</v>
      </c>
      <c r="I5" s="6" t="n">
        <v>3134912</v>
      </c>
      <c r="J5" s="6"/>
      <c r="K5" s="7" t="n">
        <f aca="false">SUM(C5:D5)+SUM(F5:H5)+J5</f>
        <v>270268</v>
      </c>
      <c r="L5" s="5" t="s">
        <v>16</v>
      </c>
    </row>
    <row r="6" customFormat="false" ht="23.85" hidden="false" customHeight="false" outlineLevel="0" collapsed="false">
      <c r="A6" s="8" t="s">
        <v>17</v>
      </c>
      <c r="B6" s="9" t="s">
        <v>15</v>
      </c>
      <c r="C6" s="10" t="n">
        <v>83400</v>
      </c>
      <c r="D6" s="10" t="n">
        <v>174000</v>
      </c>
      <c r="E6" s="10" t="n">
        <v>4200000</v>
      </c>
      <c r="F6" s="10" t="n">
        <v>15400</v>
      </c>
      <c r="G6" s="10" t="n">
        <v>67407</v>
      </c>
      <c r="H6" s="10" t="n">
        <v>16100</v>
      </c>
      <c r="I6" s="10" t="n">
        <v>2791151</v>
      </c>
      <c r="J6" s="10" t="n">
        <v>12900</v>
      </c>
      <c r="K6" s="11" t="n">
        <f aca="false">SUM(C6:D6)+SUM(F6:H6)+J6</f>
        <v>369207</v>
      </c>
      <c r="L6" s="9" t="s">
        <v>18</v>
      </c>
    </row>
    <row r="7" customFormat="false" ht="35.05" hidden="false" customHeight="false" outlineLevel="0" collapsed="false">
      <c r="A7" s="12" t="s">
        <v>19</v>
      </c>
      <c r="B7" s="13" t="s">
        <v>15</v>
      </c>
      <c r="C7" s="14" t="n">
        <f aca="false">C5+C6</f>
        <v>230100</v>
      </c>
      <c r="D7" s="14" t="n">
        <f aca="false">D5+D6</f>
        <v>218800</v>
      </c>
      <c r="E7" s="14" t="n">
        <f aca="false">E5+E6</f>
        <v>6100000</v>
      </c>
      <c r="F7" s="14" t="n">
        <f aca="false">F5+F6</f>
        <v>26900</v>
      </c>
      <c r="G7" s="14" t="n">
        <f aca="false">G5+G6</f>
        <v>118407</v>
      </c>
      <c r="H7" s="14" t="n">
        <f aca="false">H5+H6</f>
        <v>32368</v>
      </c>
      <c r="I7" s="14" t="n">
        <f aca="false">I5+I6</f>
        <v>5926063</v>
      </c>
      <c r="J7" s="14" t="n">
        <f aca="false">J5+J6</f>
        <v>12900</v>
      </c>
      <c r="K7" s="14" t="n">
        <f aca="false">SUM(C7:D7)+SUM(F7:H7)+J7</f>
        <v>639475</v>
      </c>
      <c r="L7" s="13" t="s">
        <v>20</v>
      </c>
    </row>
    <row r="8" customFormat="false" ht="23.85" hidden="false" customHeight="false" outlineLevel="0" collapsed="false">
      <c r="A8" s="8" t="s">
        <v>21</v>
      </c>
      <c r="B8" s="9" t="s">
        <v>22</v>
      </c>
      <c r="C8" s="10" t="n">
        <v>478700</v>
      </c>
      <c r="D8" s="10" t="n">
        <v>577200</v>
      </c>
      <c r="E8" s="10"/>
      <c r="F8" s="10"/>
      <c r="G8" s="10" t="n">
        <v>1300</v>
      </c>
      <c r="H8" s="10" t="n">
        <v>2510</v>
      </c>
      <c r="I8" s="10" t="n">
        <v>39168</v>
      </c>
      <c r="J8" s="10"/>
      <c r="K8" s="11" t="n">
        <f aca="false">SUM(C8:D8)+SUM(F8:H8)+J8</f>
        <v>1059710</v>
      </c>
      <c r="L8" s="9" t="s">
        <v>23</v>
      </c>
    </row>
    <row r="9" customFormat="false" ht="23.85" hidden="false" customHeight="false" outlineLevel="0" collapsed="false">
      <c r="A9" s="4" t="s">
        <v>24</v>
      </c>
      <c r="B9" s="5" t="s">
        <v>25</v>
      </c>
      <c r="C9" s="6" t="n">
        <v>1970000</v>
      </c>
      <c r="D9" s="6" t="n">
        <v>1900000</v>
      </c>
      <c r="E9" s="6" t="n">
        <v>31100000</v>
      </c>
      <c r="F9" s="6"/>
      <c r="G9" s="6" t="n">
        <v>950000</v>
      </c>
      <c r="H9" s="6" t="n">
        <v>1203614</v>
      </c>
      <c r="I9" s="6" t="n">
        <v>543448206</v>
      </c>
      <c r="J9" s="6"/>
      <c r="K9" s="7" t="n">
        <f aca="false">SUM(C9:D9)+SUM(F9:H9)+J9</f>
        <v>6023614</v>
      </c>
      <c r="L9" s="5" t="s">
        <v>26</v>
      </c>
    </row>
    <row r="10" customFormat="false" ht="23.85" hidden="false" customHeight="false" outlineLevel="0" collapsed="false">
      <c r="A10" s="8" t="s">
        <v>27</v>
      </c>
      <c r="B10" s="9" t="s">
        <v>28</v>
      </c>
      <c r="C10" s="10" t="n">
        <v>1200000</v>
      </c>
      <c r="D10" s="10" t="n">
        <v>524300</v>
      </c>
      <c r="E10" s="10" t="n">
        <v>6700000</v>
      </c>
      <c r="F10" s="10" t="n">
        <v>37</v>
      </c>
      <c r="G10" s="10" t="n">
        <v>1018419</v>
      </c>
      <c r="H10" s="10" t="n">
        <v>70420</v>
      </c>
      <c r="I10" s="10" t="n">
        <v>14334930</v>
      </c>
      <c r="J10" s="10"/>
      <c r="K10" s="11" t="n">
        <f aca="false">SUM(C10:D10)+SUM(F10:H10)+J10</f>
        <v>2813176</v>
      </c>
      <c r="L10" s="9" t="s">
        <v>29</v>
      </c>
    </row>
    <row r="11" customFormat="false" ht="35.05" hidden="false" customHeight="false" outlineLevel="0" collapsed="false">
      <c r="A11" s="4" t="s">
        <v>30</v>
      </c>
      <c r="B11" s="5" t="s">
        <v>31</v>
      </c>
      <c r="C11" s="6" t="n">
        <v>2200000</v>
      </c>
      <c r="D11" s="6" t="n">
        <v>3300000</v>
      </c>
      <c r="E11" s="6" t="n">
        <v>139300000</v>
      </c>
      <c r="F11" s="6" t="n">
        <v>609500</v>
      </c>
      <c r="G11" s="6" t="n">
        <v>673041</v>
      </c>
      <c r="H11" s="6" t="n">
        <v>754348</v>
      </c>
      <c r="I11" s="6" t="n">
        <v>91964756</v>
      </c>
      <c r="J11" s="6"/>
      <c r="K11" s="7" t="n">
        <f aca="false">SUM(C11:D11)+SUM(F11:H11)+J11</f>
        <v>7536889</v>
      </c>
      <c r="L11" s="5" t="s">
        <v>32</v>
      </c>
    </row>
    <row r="12" customFormat="false" ht="23.85" hidden="false" customHeight="false" outlineLevel="0" collapsed="false">
      <c r="A12" s="8" t="s">
        <v>33</v>
      </c>
      <c r="B12" s="9" t="s">
        <v>34</v>
      </c>
      <c r="C12" s="10" t="n">
        <v>2000000</v>
      </c>
      <c r="D12" s="10" t="n">
        <v>99100</v>
      </c>
      <c r="E12" s="10" t="n">
        <v>214300</v>
      </c>
      <c r="F12" s="10" t="n">
        <v>485500</v>
      </c>
      <c r="G12" s="10" t="n">
        <v>537600</v>
      </c>
      <c r="H12" s="10" t="n">
        <v>38000</v>
      </c>
      <c r="I12" s="10" t="n">
        <v>1327588</v>
      </c>
      <c r="J12" s="10" t="n">
        <v>324400</v>
      </c>
      <c r="K12" s="11" t="n">
        <f aca="false">SUM(C12:D12)+SUM(F12:H12)+J12</f>
        <v>3484600</v>
      </c>
      <c r="L12" s="9" t="s">
        <v>35</v>
      </c>
    </row>
    <row r="13" customFormat="false" ht="35.05" hidden="false" customHeight="false" outlineLevel="0" collapsed="false">
      <c r="A13" s="4" t="s">
        <v>36</v>
      </c>
      <c r="B13" s="5" t="s">
        <v>37</v>
      </c>
      <c r="C13" s="6" t="n">
        <v>2500000</v>
      </c>
      <c r="D13" s="6" t="n">
        <v>46900</v>
      </c>
      <c r="E13" s="6" t="n">
        <v>0</v>
      </c>
      <c r="F13" s="6" t="n">
        <v>717900</v>
      </c>
      <c r="G13" s="6" t="n">
        <v>835600</v>
      </c>
      <c r="H13" s="6" t="n">
        <v>30600</v>
      </c>
      <c r="I13" s="6" t="n">
        <v>900468</v>
      </c>
      <c r="J13" s="6" t="n">
        <v>508700</v>
      </c>
      <c r="K13" s="7" t="n">
        <f aca="false">SUM(C13:D13)+SUM(F13:H13)+J13</f>
        <v>4639700</v>
      </c>
      <c r="L13" s="5" t="s">
        <v>38</v>
      </c>
    </row>
    <row r="14" customFormat="false" ht="35.05" hidden="false" customHeight="false" outlineLevel="0" collapsed="false">
      <c r="A14" s="8" t="s">
        <v>39</v>
      </c>
      <c r="B14" s="9" t="s">
        <v>40</v>
      </c>
      <c r="C14" s="10" t="n">
        <v>157500</v>
      </c>
      <c r="D14" s="10"/>
      <c r="E14" s="10"/>
      <c r="F14" s="10" t="n">
        <v>925400</v>
      </c>
      <c r="G14" s="10" t="n">
        <v>124900</v>
      </c>
      <c r="H14" s="10"/>
      <c r="I14" s="10"/>
      <c r="J14" s="10"/>
      <c r="K14" s="11" t="n">
        <f aca="false">SUM(C14:D14)+SUM(F14:H14)+J14</f>
        <v>1207800</v>
      </c>
      <c r="L14" s="9" t="s">
        <v>41</v>
      </c>
    </row>
    <row r="15" customFormat="false" ht="23.85" hidden="false" customHeight="false" outlineLevel="0" collapsed="false">
      <c r="A15" s="4" t="s">
        <v>42</v>
      </c>
      <c r="B15" s="5" t="s">
        <v>43</v>
      </c>
      <c r="C15" s="6" t="n">
        <v>105800</v>
      </c>
      <c r="D15" s="6" t="n">
        <v>57300</v>
      </c>
      <c r="E15" s="6" t="n">
        <v>869900</v>
      </c>
      <c r="F15" s="6" t="n">
        <v>55700</v>
      </c>
      <c r="G15" s="6" t="n">
        <v>30800</v>
      </c>
      <c r="H15" s="6" t="n">
        <v>844</v>
      </c>
      <c r="I15" s="6" t="n">
        <v>400922</v>
      </c>
      <c r="J15" s="6" t="n">
        <v>47500</v>
      </c>
      <c r="K15" s="7" t="n">
        <f aca="false">SUM(C15:D15)+SUM(F15:H15)+J15</f>
        <v>297944</v>
      </c>
      <c r="L15" s="5" t="s">
        <v>44</v>
      </c>
    </row>
    <row r="16" customFormat="false" ht="15" hidden="false" customHeight="false" outlineLevel="0" collapsed="false">
      <c r="A16" s="12" t="s">
        <v>45</v>
      </c>
      <c r="B16" s="13" t="s">
        <v>46</v>
      </c>
      <c r="C16" s="14" t="n">
        <f aca="false">C14+C15</f>
        <v>263300</v>
      </c>
      <c r="D16" s="14" t="n">
        <f aca="false">D14+D15</f>
        <v>57300</v>
      </c>
      <c r="E16" s="14" t="n">
        <f aca="false">E14+E15</f>
        <v>869900</v>
      </c>
      <c r="F16" s="14" t="n">
        <f aca="false">F14+F15</f>
        <v>981100</v>
      </c>
      <c r="G16" s="14" t="n">
        <f aca="false">G14+G15</f>
        <v>155700</v>
      </c>
      <c r="H16" s="14" t="n">
        <f aca="false">H14+H15</f>
        <v>844</v>
      </c>
      <c r="I16" s="14" t="n">
        <f aca="false">I14+I15</f>
        <v>400922</v>
      </c>
      <c r="J16" s="14" t="n">
        <f aca="false">J14+J15</f>
        <v>47500</v>
      </c>
      <c r="K16" s="14" t="n">
        <f aca="false">SUM(C16:D16)+SUM(F16:H16)+J16</f>
        <v>1505744</v>
      </c>
      <c r="L16" s="9" t="s">
        <v>47</v>
      </c>
    </row>
    <row r="17" customFormat="false" ht="68.65" hidden="false" customHeight="false" outlineLevel="0" collapsed="false">
      <c r="A17" s="4" t="s">
        <v>48</v>
      </c>
      <c r="B17" s="5" t="s">
        <v>49</v>
      </c>
      <c r="C17" s="6" t="n">
        <v>23400</v>
      </c>
      <c r="D17" s="6" t="n">
        <v>8801</v>
      </c>
      <c r="E17" s="6"/>
      <c r="F17" s="6"/>
      <c r="G17" s="6" t="n">
        <v>259</v>
      </c>
      <c r="H17" s="6" t="n">
        <v>8380</v>
      </c>
      <c r="I17" s="6" t="n">
        <v>4678113</v>
      </c>
      <c r="J17" s="6"/>
      <c r="K17" s="7" t="n">
        <f aca="false">SUM(C17:D17)+SUM(F17:H17)+J17</f>
        <v>40840</v>
      </c>
      <c r="L17" s="5" t="s">
        <v>50</v>
      </c>
    </row>
    <row r="19" customFormat="false" ht="15" hidden="false" customHeight="false" outlineLevel="0" collapsed="false">
      <c r="A19" s="15" t="s">
        <v>51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customFormat="false" ht="51.75" hidden="false" customHeight="true" outlineLevel="0" collapsed="false">
      <c r="A20" s="16" t="s">
        <v>52</v>
      </c>
      <c r="B20" s="17" t="s">
        <v>53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customFormat="false" ht="51.75" hidden="false" customHeight="true" outlineLevel="0" collapsed="false">
      <c r="A21" s="16" t="s">
        <v>54</v>
      </c>
      <c r="B21" s="17" t="s">
        <v>55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</row>
  </sheetData>
  <mergeCells count="5">
    <mergeCell ref="A1:L1"/>
    <mergeCell ref="A2:L2"/>
    <mergeCell ref="A19:L19"/>
    <mergeCell ref="B20:L20"/>
    <mergeCell ref="B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24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</row>
    <row r="5" customFormat="false" ht="23.85" hidden="false" customHeight="false" outlineLevel="0" collapsed="false">
      <c r="A5" s="4" t="s">
        <v>21</v>
      </c>
      <c r="B5" s="6" t="n">
        <f aca="false">'Audience Stats'!K8</f>
        <v>1059710</v>
      </c>
      <c r="C5" s="18" t="n">
        <f aca="false">B5/'Audience Stats'!$K$5</f>
        <v>3.92095993606346</v>
      </c>
      <c r="D5" s="18" t="n">
        <f aca="false">B5/'Audience Stats'!$K$6</f>
        <v>2.87023268789595</v>
      </c>
      <c r="E5" s="19" t="n">
        <f aca="false">B5/'Audience Stats'!$K$7</f>
        <v>1.65715626099535</v>
      </c>
      <c r="F5" s="6" t="n">
        <f aca="false">'Audience Stats'!I8</f>
        <v>39168</v>
      </c>
      <c r="G5" s="18" t="n">
        <f aca="false">IF(F5&gt;0,F5/('Audience Stats'!$I$5+'Audience Stats'!$I$6),"")</f>
        <v>0.00660944711522642</v>
      </c>
      <c r="H5" s="5" t="s">
        <v>65</v>
      </c>
    </row>
    <row r="6" customFormat="false" ht="23.85" hidden="false" customHeight="false" outlineLevel="0" collapsed="false">
      <c r="A6" s="8" t="s">
        <v>24</v>
      </c>
      <c r="B6" s="10" t="n">
        <f aca="false">'Audience Stats'!K9</f>
        <v>6023614</v>
      </c>
      <c r="C6" s="20" t="n">
        <f aca="false">B6/'Audience Stats'!$K$5</f>
        <v>22.2875590154957</v>
      </c>
      <c r="D6" s="20" t="n">
        <f aca="false">B6/'Audience Stats'!$K$6</f>
        <v>16.3150048617713</v>
      </c>
      <c r="E6" s="21" t="n">
        <f aca="false">B6/'Audience Stats'!$K$7</f>
        <v>9.41962391023887</v>
      </c>
      <c r="F6" s="10" t="n">
        <f aca="false">'Audience Stats'!I9</f>
        <v>543448206</v>
      </c>
      <c r="G6" s="20" t="n">
        <f aca="false">IF(F6&gt;0,F6/('Audience Stats'!$I$5+'Audience Stats'!$I$6),"")</f>
        <v>91.7047635166889</v>
      </c>
      <c r="H6" s="9" t="s">
        <v>66</v>
      </c>
    </row>
    <row r="7" customFormat="false" ht="23.85" hidden="false" customHeight="false" outlineLevel="0" collapsed="false">
      <c r="A7" s="4" t="s">
        <v>27</v>
      </c>
      <c r="B7" s="6" t="n">
        <f aca="false">'Audience Stats'!K10</f>
        <v>2813176</v>
      </c>
      <c r="C7" s="18" t="n">
        <f aca="false">B7/'Audience Stats'!$K$5</f>
        <v>10.4088386342445</v>
      </c>
      <c r="D7" s="18" t="n">
        <f aca="false">B7/'Audience Stats'!$K$6</f>
        <v>7.61950883921486</v>
      </c>
      <c r="E7" s="19" t="n">
        <f aca="false">B7/'Audience Stats'!$K$7</f>
        <v>4.39919621564565</v>
      </c>
      <c r="F7" s="6" t="n">
        <f aca="false">'Audience Stats'!I10</f>
        <v>14334930</v>
      </c>
      <c r="G7" s="18" t="n">
        <f aca="false">IF(F7&gt;0,F7/('Audience Stats'!$I$5+'Audience Stats'!$I$6),"")</f>
        <v>2.41896348385091</v>
      </c>
      <c r="H7" s="5" t="s">
        <v>67</v>
      </c>
    </row>
    <row r="8" customFormat="false" ht="23.85" hidden="false" customHeight="false" outlineLevel="0" collapsed="false">
      <c r="A8" s="8" t="s">
        <v>30</v>
      </c>
      <c r="B8" s="10" t="n">
        <f aca="false">'Audience Stats'!K11</f>
        <v>7536889</v>
      </c>
      <c r="C8" s="20" t="n">
        <f aca="false">B8/'Audience Stats'!$K$5</f>
        <v>27.8867235484778</v>
      </c>
      <c r="D8" s="20" t="n">
        <f aca="false">B8/'Audience Stats'!$K$6</f>
        <v>20.4137218416769</v>
      </c>
      <c r="E8" s="21" t="n">
        <f aca="false">B8/'Audience Stats'!$K$7</f>
        <v>11.7860573126393</v>
      </c>
      <c r="F8" s="10" t="n">
        <f aca="false">'Audience Stats'!I11</f>
        <v>91964756</v>
      </c>
      <c r="G8" s="20" t="n">
        <f aca="false">IF(F8&gt;0,F8/('Audience Stats'!$I$5+'Audience Stats'!$I$6),"")</f>
        <v>15.5186936082185</v>
      </c>
      <c r="H8" s="9" t="s">
        <v>68</v>
      </c>
    </row>
    <row r="9" customFormat="false" ht="15" hidden="false" customHeight="false" outlineLevel="0" collapsed="false">
      <c r="A9" s="4" t="s">
        <v>33</v>
      </c>
      <c r="B9" s="6" t="n">
        <f aca="false">'Audience Stats'!K12</f>
        <v>3484600</v>
      </c>
      <c r="C9" s="18" t="n">
        <f aca="false">B9/'Audience Stats'!$K$5</f>
        <v>12.8931283022777</v>
      </c>
      <c r="D9" s="18" t="n">
        <f aca="false">B9/'Audience Stats'!$K$6</f>
        <v>9.43806590882621</v>
      </c>
      <c r="E9" s="19" t="n">
        <f aca="false">B9/'Audience Stats'!$K$7</f>
        <v>5.44915751202158</v>
      </c>
      <c r="F9" s="6" t="n">
        <f aca="false">'Audience Stats'!I12</f>
        <v>1327588</v>
      </c>
      <c r="G9" s="18" t="n">
        <f aca="false">IF(F9&gt;0,F9/('Audience Stats'!$I$5+'Audience Stats'!$I$6),"")</f>
        <v>0.224025293014941</v>
      </c>
      <c r="H9" s="5" t="s">
        <v>69</v>
      </c>
    </row>
    <row r="10" customFormat="false" ht="23.85" hidden="false" customHeight="false" outlineLevel="0" collapsed="false">
      <c r="A10" s="8" t="s">
        <v>36</v>
      </c>
      <c r="B10" s="10" t="n">
        <f aca="false">'Audience Stats'!K13</f>
        <v>4639700</v>
      </c>
      <c r="C10" s="20" t="n">
        <f aca="false">B10/'Audience Stats'!$K$5</f>
        <v>17.1670342030873</v>
      </c>
      <c r="D10" s="20" t="n">
        <f aca="false">B10/'Audience Stats'!$K$6</f>
        <v>12.5666631456067</v>
      </c>
      <c r="E10" s="21" t="n">
        <f aca="false">B10/'Audience Stats'!$K$7</f>
        <v>7.25548301340944</v>
      </c>
      <c r="F10" s="10" t="n">
        <f aca="false">'Audience Stats'!I13</f>
        <v>900468</v>
      </c>
      <c r="G10" s="20" t="n">
        <f aca="false">IF(F10&gt;0,F10/('Audience Stats'!$I$5+'Audience Stats'!$I$6),"")</f>
        <v>0.151950460195918</v>
      </c>
      <c r="H10" s="9" t="s">
        <v>70</v>
      </c>
    </row>
    <row r="11" customFormat="false" ht="23.85" hidden="false" customHeight="false" outlineLevel="0" collapsed="false">
      <c r="A11" s="4" t="s">
        <v>71</v>
      </c>
      <c r="B11" s="6" t="n">
        <f aca="false">'Audience Stats'!K14</f>
        <v>1207800</v>
      </c>
      <c r="C11" s="18" t="n">
        <f aca="false">B11/'Audience Stats'!$K$5</f>
        <v>4.46889753873933</v>
      </c>
      <c r="D11" s="18" t="n">
        <f aca="false">B11/'Audience Stats'!$K$6</f>
        <v>3.27133559222875</v>
      </c>
      <c r="E11" s="19" t="n">
        <f aca="false">B11/'Audience Stats'!$K$7</f>
        <v>1.88873685445092</v>
      </c>
      <c r="F11" s="6" t="n">
        <f aca="false">'Audience Stats'!I14</f>
        <v>0</v>
      </c>
      <c r="G11" s="18" t="str">
        <f aca="false">IF(F11&gt;0,F11/('Audience Stats'!$I$5+'Audience Stats'!$I$6),"")</f>
        <v/>
      </c>
      <c r="H11" s="5" t="s">
        <v>72</v>
      </c>
    </row>
    <row r="12" customFormat="false" ht="15" hidden="false" customHeight="false" outlineLevel="0" collapsed="false">
      <c r="A12" s="8" t="s">
        <v>73</v>
      </c>
      <c r="B12" s="10" t="n">
        <f aca="false">'Audience Stats'!K15</f>
        <v>297944</v>
      </c>
      <c r="C12" s="20" t="n">
        <f aca="false">B12/'Audience Stats'!$K$5</f>
        <v>1.10240206017731</v>
      </c>
      <c r="D12" s="20" t="n">
        <f aca="false">B12/'Audience Stats'!$K$6</f>
        <v>0.806983616236962</v>
      </c>
      <c r="E12" s="21" t="n">
        <f aca="false">B12/'Audience Stats'!$K$7</f>
        <v>0.465919699753704</v>
      </c>
      <c r="F12" s="10" t="n">
        <f aca="false">'Audience Stats'!I15</f>
        <v>400922</v>
      </c>
      <c r="G12" s="20" t="n">
        <f aca="false">IF(F12&gt;0,F12/('Audience Stats'!$I$5+'Audience Stats'!$I$6),"")</f>
        <v>0.0676540225778902</v>
      </c>
      <c r="H12" s="9" t="s">
        <v>74</v>
      </c>
    </row>
    <row r="13" customFormat="false" ht="15" hidden="false" customHeight="false" outlineLevel="0" collapsed="false">
      <c r="A13" s="16" t="s">
        <v>45</v>
      </c>
      <c r="B13" s="6" t="n">
        <f aca="false">'Audience Stats'!K16</f>
        <v>1505744</v>
      </c>
      <c r="C13" s="18" t="n">
        <f aca="false">B13/'Audience Stats'!$K$5</f>
        <v>5.57129959891663</v>
      </c>
      <c r="D13" s="18" t="n">
        <f aca="false">B13/'Audience Stats'!$K$6</f>
        <v>4.07831920846571</v>
      </c>
      <c r="E13" s="19" t="n">
        <f aca="false">B13/'Audience Stats'!$K$7</f>
        <v>2.35465655420462</v>
      </c>
      <c r="F13" s="6" t="n">
        <f aca="false">'Audience Stats'!I16</f>
        <v>400922</v>
      </c>
      <c r="G13" s="18" t="n">
        <f aca="false">IF(F13&gt;0,F13/('Audience Stats'!$I$5+'Audience Stats'!$I$6),"")</f>
        <v>0.0676540225778902</v>
      </c>
      <c r="H13" s="5" t="s">
        <v>75</v>
      </c>
    </row>
    <row r="14" customFormat="false" ht="35.05" hidden="false" customHeight="false" outlineLevel="0" collapsed="false">
      <c r="A14" s="8" t="s">
        <v>48</v>
      </c>
      <c r="B14" s="10" t="n">
        <f aca="false">'Audience Stats'!K17</f>
        <v>40840</v>
      </c>
      <c r="C14" s="20" t="n">
        <f aca="false">B14/'Audience Stats'!$K$5</f>
        <v>0.151109269317862</v>
      </c>
      <c r="D14" s="20" t="n">
        <f aca="false">B14/'Audience Stats'!$K$6</f>
        <v>0.110615454203198</v>
      </c>
      <c r="E14" s="21" t="n">
        <f aca="false">B14/'Audience Stats'!$K$7</f>
        <v>0.0638648891668947</v>
      </c>
      <c r="F14" s="10" t="n">
        <f aca="false">'Audience Stats'!I17</f>
        <v>4678113</v>
      </c>
      <c r="G14" s="20" t="n">
        <f aca="false">IF(F14&gt;0,F14/('Audience Stats'!$I$5+'Audience Stats'!$I$6),"")</f>
        <v>0.789413308633405</v>
      </c>
      <c r="H14" s="9" t="s">
        <v>76</v>
      </c>
    </row>
    <row r="15" customFormat="false" ht="23.85" hidden="false" customHeight="false" outlineLevel="0" collapsed="false">
      <c r="A15" s="12" t="s">
        <v>19</v>
      </c>
      <c r="B15" s="14" t="n">
        <f aca="false">'Audience Stats'!$K$7</f>
        <v>639475</v>
      </c>
      <c r="C15" s="22"/>
      <c r="D15" s="22"/>
      <c r="E15" s="23" t="n">
        <v>1</v>
      </c>
      <c r="F15" s="14" t="n">
        <f aca="false">('Audience Stats'!$I$5+'Audience Stats'!$I$6)</f>
        <v>5926063</v>
      </c>
      <c r="G15" s="24" t="n">
        <v>1</v>
      </c>
      <c r="H15" s="13" t="s">
        <v>77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78</v>
      </c>
      <c r="B1" s="1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16" t="s">
        <v>79</v>
      </c>
      <c r="B3" s="5" t="s">
        <v>80</v>
      </c>
    </row>
    <row r="4" customFormat="false" ht="35.05" hidden="false" customHeight="false" outlineLevel="0" collapsed="false">
      <c r="A4" s="16" t="s">
        <v>81</v>
      </c>
      <c r="B4" s="5" t="s">
        <v>82</v>
      </c>
    </row>
    <row r="5" customFormat="false" ht="23.85" hidden="false" customHeight="false" outlineLevel="0" collapsed="false">
      <c r="A5" s="16" t="s">
        <v>83</v>
      </c>
      <c r="B5" s="5" t="s">
        <v>84</v>
      </c>
    </row>
    <row r="6" customFormat="false" ht="15" hidden="false" customHeight="false" outlineLevel="0" collapsed="false">
      <c r="A6" s="16" t="s">
        <v>85</v>
      </c>
      <c r="B6" s="5" t="s">
        <v>86</v>
      </c>
    </row>
    <row r="7" customFormat="false" ht="23.85" hidden="false" customHeight="false" outlineLevel="0" collapsed="false">
      <c r="A7" s="16" t="s">
        <v>87</v>
      </c>
      <c r="B7" s="5" t="s">
        <v>88</v>
      </c>
    </row>
    <row r="8" customFormat="false" ht="23.85" hidden="false" customHeight="false" outlineLevel="0" collapsed="false">
      <c r="A8" s="16" t="s">
        <v>89</v>
      </c>
      <c r="B8" s="5" t="s">
        <v>90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2026-07-23T22:36:49Z</dcterms:created>
  <dc:creator>openpyxl</dc:creator>
  <dc:description/>
  <dc:language>en-US</dc:language>
  <cp:lastModifiedBy/>
  <dcterms:modified xsi:type="dcterms:W3CDTF">2026-07-23T22:36:49Z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